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4\Grupo 5 Propal\Evidencias grupales\"/>
    </mc:Choice>
  </mc:AlternateContent>
  <xr:revisionPtr revIDLastSave="0" documentId="13_ncr:1_{CC0ADC1B-F2C1-4CE7-A276-76EAC034B6A6}"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G20" i="1"/>
  <c r="F17" i="1" l="1"/>
  <c r="G17" i="1" s="1"/>
  <c r="H17" i="1"/>
  <c r="I17" i="1" s="1"/>
  <c r="J17" i="1"/>
  <c r="K17" i="1" s="1"/>
  <c r="K20" i="1"/>
  <c r="H20" i="1"/>
  <c r="I20" i="1" s="1"/>
  <c r="E20" i="1"/>
  <c r="K19" i="1"/>
  <c r="H19" i="1"/>
  <c r="I19" i="1" s="1"/>
  <c r="G19" i="1"/>
  <c r="K18" i="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<sst xmlns="http://schemas.openxmlformats.org/spreadsheetml/2006/main" count="94" uniqueCount="69">
  <si>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</si>
  <si>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</si>
  <si>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</si>
  <si>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</si>
  <si>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</si>
  <si>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</si>
  <si>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</si>
  <si>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</si>
  <si>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</si>
  <si>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</si>
  <si>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</si>
  <si>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</si>
  <si>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</si>
  <si>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</si>
  <si>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</si>
  <si>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</si>
  <si>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</si>
  <si>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</si>
  <si>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</si>
  <si>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</si>
  <si>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</si>
  <si>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</si>
  <si>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</si>
  <si>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</si>
  <si>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</si>
  <si>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</si>
  <si>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</si>
  <si>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</si>
  <si>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</si>
  <si>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</si>
  <si>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</si>
  <si>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</si>
  <si>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</si>
  <si>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</si>
  <si>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</si>
  <si>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</si>
  <si>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</si>
  <si>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</si>
  <si>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</si>
  <si>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</si>
  <si>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</si>
  <si>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</si>
  <si>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</si>
  <si>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</si>
  <si>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</si>
  <si>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</si>
  <si>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</si>
  <si>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</si>
  <si>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</si>
  <si>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</si>
  <si>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</si>
  <si>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</si>
  <si>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</si>
  <si>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</si>
  <si>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</si>
  <si>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</si>
  <si>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</si>
  <si>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</si>
  <si>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</si>
  <si>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</si>
  <si>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</si>
  <si>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</si>
  <si>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</si>
  <si>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</si>
  <si>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</si>
  <si>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Nicolas Castillo</t>
  </si>
  <si>
    <t>Diego Herrera</t>
  </si>
  <si>
    <t>Sebastian Contreras</t>
  </si>
  <si>
    <t>Andres Martinez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</si>
</sst>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J18" sqref="J18:J2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c r="E3" t="s">
        <v>64</v>
      </c>
    </row>
    <row r="4" spans="1:11" ht="14.4" x14ac:dyDescent="0.3">
      <c r="A4" s="4">
        <v>1</v>
      </c>
      <c r="B4" s="25" t="s">
        <v>65</v>
      </c>
      <c r="C4" s="5">
        <f>EVALUACION2!$C$22</f>
        <v>5.7</v>
      </c>
      <c r="G4" s="1"/>
    </row>
    <row r="5" spans="1:11" ht="14.4" x14ac:dyDescent="0.3">
      <c r="A5" s="4">
        <v>2</v>
      </c>
      <c r="B5" s="25" t="s">
        <v>66</v>
      </c>
      <c r="C5" s="5">
        <f>EVALUACION2!$C$22</f>
        <v>5.7</v>
      </c>
      <c r="G5" s="1"/>
    </row>
    <row r="6" spans="1:11" ht="14.4" x14ac:dyDescent="0.3">
      <c r="A6" s="4">
        <v>3</v>
      </c>
      <c r="B6" s="40" t="s">
        <v>67</v>
      </c>
      <c r="C6" s="41">
        <f>EVALUACION2!$C$22</f>
        <v>5.7</v>
      </c>
      <c r="G6" s="1"/>
      <c r="I6" t="s">
        <v>64</v>
      </c>
    </row>
    <row r="7" spans="1:11" ht="15" customHeight="1" x14ac:dyDescent="0.3">
      <c r="A7" s="4">
        <v>4</v>
      </c>
      <c r="B7" s="42" t="s">
        <v>68</v>
      </c>
      <c r="C7" s="43">
        <f>EVALUACION2!$C$22</f>
        <v>5.7</v>
      </c>
    </row>
    <row r="11" spans="1:11" ht="18" outlineLevel="1" x14ac:dyDescent="0.3">
      <c r="A11" s="44" t="s">
        <v>9</v>
      </c>
      <c r="B11" s="14"/>
      <c r="C11" s="48" t="s">
        <v>10</v>
      </c>
      <c r="D11" s="49" t="s">
        <v>11</v>
      </c>
      <c r="E11" s="51"/>
      <c r="F11" s="51"/>
      <c r="G11" s="51"/>
      <c r="H11" s="51"/>
      <c r="I11" s="51"/>
      <c r="J11" s="51"/>
      <c r="K11" s="50"/>
    </row>
    <row r="12" spans="1:11" ht="14.4" outlineLevel="1" x14ac:dyDescent="0.3">
      <c r="A12" s="45"/>
      <c r="B12" s="20" t="s">
        <v>12</v>
      </c>
      <c r="C12" s="47"/>
      <c r="D12" s="49" t="s">
        <v>5</v>
      </c>
      <c r="E12" s="50"/>
      <c r="F12" s="49" t="s">
        <v>6</v>
      </c>
      <c r="G12" s="50"/>
      <c r="H12" s="52" t="s">
        <v>23</v>
      </c>
      <c r="I12" s="50"/>
      <c r="J12" s="49" t="s">
        <v>7</v>
      </c>
      <c r="K12" s="50"/>
    </row>
    <row r="13" spans="1:11" ht="24" outlineLevel="1" x14ac:dyDescent="0.3">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 customHeight="1" outlineLevel="1" x14ac:dyDescent="0.3">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36" outlineLevel="1" x14ac:dyDescent="0.3">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3">
      <c r="A16" s="46"/>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0"/>
        <v/>
      </c>
      <c r="I16" s="15" t="str">
        <f>IF(H16="X",30*0.05,"")</f>
        <v/>
      </c>
      <c r="J16" s="15" t="str">
        <f t="shared" si="1"/>
        <v/>
      </c>
      <c r="K16" s="15" t="str">
        <f t="shared" si="2"/>
        <v/>
      </c>
    </row>
    <row r="17" spans="1:11" ht="24" outlineLevel="1" x14ac:dyDescent="0.3">
      <c r="A17" s="46"/>
      <c r="B17" s="28" t="str">
        <f>RUBRICA!A8</f>
        <v xml:space="preserve">5. Utiliza reglas de redacción, ortografía (literal, puntual, acentual) y las normas para citas y referencias. </v>
      </c>
      <c r="C17" s="26" t="s">
        <v>5</v>
      </c>
      <c r="D17" s="15" t="str">
        <f t="shared" ref="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24" outlineLevel="1" x14ac:dyDescent="0.3">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c r="K18" s="15" t="str">
        <f t="shared" ref="K18:K20" si="5">IF($J18="X",0,"")</f>
        <v/>
      </c>
    </row>
    <row r="19" spans="1:11" ht="36" outlineLevel="1" x14ac:dyDescent="0.3">
      <c r="A19" s="46"/>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c r="K19" s="15" t="str">
        <f t="shared" si="5"/>
        <v/>
      </c>
    </row>
    <row r="20" spans="1:11" ht="36" outlineLevel="1" x14ac:dyDescent="0.3">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c r="K20" s="15" t="str">
        <f t="shared" si="5"/>
        <v/>
      </c>
    </row>
    <row r="21" spans="1:11" ht="15.75" customHeight="1" outlineLevel="1" x14ac:dyDescent="0.35">
      <c r="A21" s="45"/>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5">
      <c r="A22" s="47"/>
      <c r="B22" s="30" t="s">
        <v>13</v>
      </c>
      <c r="C22" s="17">
        <f>VLOOKUP(C21,ESCALA_IEP!A2:B202,2,FALSE)</f>
        <v>5.7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6640625" customWidth="1"/>
  </cols>
  <sheetData>
    <row r="1" spans="1:6" ht="15" thickBot="1" x14ac:dyDescent="0.35">
      <c r="A1" s="53" t="s">
        <v>14</v>
      </c>
      <c r="B1" s="55" t="s">
        <v>15</v>
      </c>
      <c r="C1" s="56"/>
      <c r="D1" s="56"/>
      <c r="E1" s="57"/>
      <c r="F1" s="53" t="s">
        <v>16</v>
      </c>
    </row>
    <row r="2" spans="1:6" x14ac:dyDescent="0.3">
      <c r="A2" s="54"/>
      <c r="B2" s="59" t="s">
        <v>25</v>
      </c>
      <c r="C2" s="59" t="s">
        <v>17</v>
      </c>
      <c r="D2" s="21" t="s">
        <v>18</v>
      </c>
      <c r="E2" s="22" t="s">
        <v>7</v>
      </c>
      <c r="F2" s="54"/>
    </row>
    <row r="3" spans="1:6" ht="15" thickBot="1" x14ac:dyDescent="0.35">
      <c r="A3" s="54"/>
      <c r="B3" s="60"/>
      <c r="C3" s="60"/>
      <c r="D3" s="37">
        <v>-0.3</v>
      </c>
      <c r="E3" s="37">
        <v>0</v>
      </c>
      <c r="F3" s="58"/>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61" t="s">
        <v>3</v>
      </c>
      <c r="B1" s="6" t="s">
        <v>4</v>
      </c>
      <c r="C1" s="7"/>
      <c r="D1" s="7"/>
      <c r="E1" s="8"/>
    </row>
    <row r="2" spans="1:5" ht="43.8" thickBot="1" x14ac:dyDescent="0.35">
      <c r="A2" s="62"/>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2025-11-24T13:41:29Z</dcterms:modified>
</cp:coreProperties>
</file>
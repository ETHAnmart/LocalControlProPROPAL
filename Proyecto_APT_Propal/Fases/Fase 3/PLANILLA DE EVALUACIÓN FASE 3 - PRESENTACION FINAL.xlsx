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se 3\Seccion-004\Grupo 5 Propal\Evidencias grupales\"/>
    </mc:Choice>
  </mc:AlternateContent>
  <xr:revisionPtr revIDLastSave="0" documentId="13_ncr:1_{F86F432F-EB6E-4327-AB15-034DC06953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I83" i="1"/>
  <c r="F83" i="1"/>
  <c r="G83" i="1" s="1"/>
  <c r="E83" i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G81" i="1"/>
  <c r="E81" i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I70" i="1"/>
  <c r="F70" i="1"/>
  <c r="G70" i="1" s="1"/>
  <c r="E70" i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G68" i="1"/>
  <c r="E68" i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I57" i="1"/>
  <c r="F57" i="1"/>
  <c r="G57" i="1" s="1"/>
  <c r="E57" i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G55" i="1"/>
  <c r="E55" i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F44" i="1"/>
  <c r="G44" i="1" s="1"/>
  <c r="E44" i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G42" i="1"/>
  <c r="E42" i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I31" i="1"/>
  <c r="F31" i="1"/>
  <c r="G31" i="1" s="1"/>
  <c r="E31" i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G29" i="1"/>
  <c r="E29" i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E16" i="1"/>
  <c r="D17" i="1"/>
  <c r="E17" i="1" s="1"/>
  <c r="E18" i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I18" i="1"/>
  <c r="G18" i="1"/>
  <c r="J16" i="1"/>
  <c r="K16" i="1" s="1"/>
  <c r="H16" i="1"/>
  <c r="I16" i="1" s="1"/>
  <c r="G16" i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<sst xmlns="http://schemas.openxmlformats.org/spreadsheetml/2006/main" count="177" uniqueCount="68">
  <si>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</si>
  <si>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</si>
  <si>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</si>
  <si>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</si>
  <si>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</si>
  <si>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</si>
  <si>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</si>
  <si>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</si>
  <si>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</si>
  <si>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</si>
  <si>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</si>
  <si>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</si>
  <si>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</si>
  <si>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</si>
  <si>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</si>
  <si>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</si>
  <si>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</si>
  <si>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</si>
  <si>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</si>
  <si>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</si>
  <si>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</si>
  <si>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</si>
  <si>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</si>
  <si>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</si>
  <si>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</si>
  <si>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</si>
  <si>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</si>
  <si>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</si>
  <si>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</si>
  <si>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</si>
  <si>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</si>
  <si>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</si>
  <si>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</si>
  <si>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</si>
  <si>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</si>
  <si>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</si>
  <si>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</si>
  <si>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</si>
  <si>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</si>
  <si>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</si>
  <si>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</si>
  <si>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</si>
  <si>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</si>
  <si>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</si>
  <si>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</si>
  <si>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</si>
  <si>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</si>
  <si>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</si>
  <si>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</si>
  <si>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</si>
  <si>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</si>
  <si>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</si>
  <si>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</si>
  <si>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</si>
  <si>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</si>
  <si>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</si>
  <si>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</si>
  <si>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</si>
  <si>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</si>
  <si>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</si>
  <si>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</si>
  <si>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</si>
  <si>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</si>
  <si>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Andres Martinez</t>
  </si>
  <si>
    <t>Diego Herrera</t>
  </si>
  <si>
    <t>Sebastian Contreras</t>
  </si>
  <si>
    <t>Nicolas Castillo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</si>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</sst>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3" fillId="0" borderId="0" xfId="0" applyFont="1" applyAlignment="1">
      <alignment horizontal="left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Normal="100" workbookViewId="0">
      <selection activeCell="F87" sqref="F87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5.8</v>
      </c>
      <c r="D4" s="37">
        <f>C60</f>
        <v>5.8</v>
      </c>
      <c r="E4" s="36">
        <f>C4*C$2+D4*D$2</f>
        <v>5.8</v>
      </c>
    </row>
    <row r="5" spans="1:11" ht="14.4" x14ac:dyDescent="0.3">
      <c r="A5" s="3">
        <v>2</v>
      </c>
      <c r="B5" s="16" t="s">
        <v>64</v>
      </c>
      <c r="C5" s="31">
        <f>C34</f>
        <v>5.8</v>
      </c>
      <c r="D5" s="37">
        <f>C73</f>
        <v>5.8</v>
      </c>
      <c r="E5" s="36">
        <f t="shared" ref="E5:E6" si="0">C5*C$2+D5*D$2</f>
        <v>5.8</v>
      </c>
    </row>
    <row r="6" spans="1:11" ht="14.4" x14ac:dyDescent="0.3">
      <c r="A6" s="3">
        <v>3</v>
      </c>
      <c r="B6" s="16" t="s">
        <v>65</v>
      </c>
      <c r="C6" s="31">
        <f>C47</f>
        <v>5.8</v>
      </c>
      <c r="D6" s="37">
        <f>C86</f>
        <v>5.8</v>
      </c>
      <c r="E6" s="36">
        <f t="shared" si="0"/>
        <v>5.8</v>
      </c>
    </row>
    <row r="7" spans="1:11" ht="15" customHeight="1" x14ac:dyDescent="0.3">
      <c r="B7" s="39" t="s">
        <v>66</v>
      </c>
    </row>
    <row r="11" spans="1:11" ht="18" outlineLevel="1" x14ac:dyDescent="0.3">
      <c r="A11" s="49" t="s">
        <v>4</v>
      </c>
      <c r="B11" s="11" t="str">
        <f>B4</f>
        <v>Andres Martinez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ht="14.4" outlineLevel="1" x14ac:dyDescent="0.3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4" outlineLevel="1" x14ac:dyDescent="0.3">
      <c r="A13" s="42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2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2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2"/>
      <c r="B16" s="19" t="str">
        <f>RUBRICA!A7</f>
        <v>4. Expone el Proyecto APT, considerando el formato y el tiempo establecido para la presentación.</v>
      </c>
      <c r="C16" s="17" t="s">
        <v>8</v>
      </c>
      <c r="D16" s="12"/>
      <c r="E16" s="12" t="str">
        <f>IF(D16="X",100*0.05,"")</f>
        <v/>
      </c>
      <c r="F16" s="12" t="s">
        <v>67</v>
      </c>
      <c r="G16" s="12">
        <f>IF(F16="X",60*0.05,"")</f>
        <v>3</v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2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2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/>
      <c r="E18" s="12" t="str">
        <f>IF(D18="X",100*0.2,"")</f>
        <v/>
      </c>
      <c r="F18" s="12"/>
      <c r="G18" s="12" t="str">
        <f>IF(F18="X",60*0.2,"")</f>
        <v/>
      </c>
      <c r="H18" s="12" t="s">
        <v>67</v>
      </c>
      <c r="I18" s="12">
        <f>IF(H18="X",30*0.2,"")</f>
        <v>6</v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2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1"/>
      <c r="B20" s="18" t="s">
        <v>12</v>
      </c>
      <c r="C20" s="22">
        <f>E20+G20+I20+K20</f>
        <v>84</v>
      </c>
      <c r="D20" s="13"/>
      <c r="E20" s="13">
        <f>SUM(E13:E19)</f>
        <v>75</v>
      </c>
      <c r="F20" s="13"/>
      <c r="G20" s="13">
        <f>SUM(G13:G19)</f>
        <v>3</v>
      </c>
      <c r="H20" s="13"/>
      <c r="I20" s="13">
        <f>SUM(I13:I19)</f>
        <v>6</v>
      </c>
      <c r="J20" s="13"/>
      <c r="K20" s="13">
        <f>SUM(K13:K19)</f>
        <v>0</v>
      </c>
    </row>
    <row r="21" spans="1:11" ht="15.75" customHeight="1" outlineLevel="1" x14ac:dyDescent="0.35">
      <c r="A21" s="43"/>
      <c r="B21" s="21" t="s">
        <v>13</v>
      </c>
      <c r="C21" s="14">
        <f>VLOOKUP(C20,ESCALA_IEP!A2:B202,2,FALSE)</f>
        <v>5.8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49" t="s">
        <v>4</v>
      </c>
      <c r="B24" s="11" t="str">
        <f>B5</f>
        <v>Diego Herrera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3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3">
      <c r="A26" s="42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2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2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2"/>
      <c r="B29" s="19" t="str">
        <f>RUBRICA!A7</f>
        <v>4. Expone el Proyecto APT, considerando el formato y el tiempo establecido para la presentación.</v>
      </c>
      <c r="C29" s="17" t="s">
        <v>8</v>
      </c>
      <c r="D29" s="12"/>
      <c r="E29" s="12" t="str">
        <f>IF(D29="X",100*0.05,"")</f>
        <v/>
      </c>
      <c r="F29" s="12" t="s">
        <v>67</v>
      </c>
      <c r="G29" s="12">
        <f>IF(F29="X",60*0.05,"")</f>
        <v>3</v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2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2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/>
      <c r="E31" s="12" t="str">
        <f>IF(D31="X",100*0.2,"")</f>
        <v/>
      </c>
      <c r="F31" s="12" t="str">
        <f>IF($C31=L,"X","")</f>
        <v/>
      </c>
      <c r="G31" s="12" t="str">
        <f>IF(F31="X",60*0.2,"")</f>
        <v/>
      </c>
      <c r="H31" s="12" t="s">
        <v>67</v>
      </c>
      <c r="I31" s="12">
        <f>IF(H31="X",30*0.2,"")</f>
        <v>6</v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2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1"/>
      <c r="B33" s="18" t="s">
        <v>12</v>
      </c>
      <c r="C33" s="22">
        <f>E33+G33+I33+K33</f>
        <v>84</v>
      </c>
      <c r="D33" s="13"/>
      <c r="E33" s="13">
        <f>SUM(E26:E32)</f>
        <v>75</v>
      </c>
      <c r="F33" s="13"/>
      <c r="G33" s="13">
        <f>SUM(G26:G32)</f>
        <v>3</v>
      </c>
      <c r="H33" s="13"/>
      <c r="I33" s="13">
        <f>SUM(I26:I32)</f>
        <v>6</v>
      </c>
      <c r="J33" s="13"/>
      <c r="K33" s="13">
        <f>SUM(K26:K32)</f>
        <v>0</v>
      </c>
    </row>
    <row r="34" spans="1:11" ht="24" customHeight="1" x14ac:dyDescent="0.35">
      <c r="A34" s="43"/>
      <c r="B34" s="21" t="s">
        <v>13</v>
      </c>
      <c r="C34" s="14">
        <f>VLOOKUP(C33,ESCALA_IEP!A15:B215,2,FALSE)</f>
        <v>5.8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9" t="s">
        <v>4</v>
      </c>
      <c r="B37" s="11" t="str">
        <f>B6</f>
        <v>Sebastian Contreras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3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3">
      <c r="A39" s="42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2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2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2"/>
      <c r="B42" s="19" t="str">
        <f>RUBRICA!A7</f>
        <v>4. Expone el Proyecto APT, considerando el formato y el tiempo establecido para la presentación.</v>
      </c>
      <c r="C42" s="17" t="s">
        <v>8</v>
      </c>
      <c r="D42" s="12"/>
      <c r="E42" s="12" t="str">
        <f>IF(D42="X",100*0.05,"")</f>
        <v/>
      </c>
      <c r="F42" s="12" t="s">
        <v>67</v>
      </c>
      <c r="G42" s="12">
        <f>IF(F42="X",60*0.05,"")</f>
        <v>3</v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2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2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/>
      <c r="E44" s="12" t="str">
        <f>IF(D44="X",100*0.2,"")</f>
        <v/>
      </c>
      <c r="F44" s="12" t="str">
        <f>IF($C44=L,"X","")</f>
        <v/>
      </c>
      <c r="G44" s="12" t="str">
        <f>IF(F44="X",60*0.2,"")</f>
        <v/>
      </c>
      <c r="H44" s="12" t="s">
        <v>67</v>
      </c>
      <c r="I44" s="12">
        <f>IF(H44="X",30*0.2,"")</f>
        <v>6</v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2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1"/>
      <c r="B46" s="18" t="s">
        <v>12</v>
      </c>
      <c r="C46" s="22">
        <f>E46+G46+I46+K46</f>
        <v>84</v>
      </c>
      <c r="D46" s="13"/>
      <c r="E46" s="13">
        <f>SUM(E39:E45)</f>
        <v>75</v>
      </c>
      <c r="F46" s="13"/>
      <c r="G46" s="13">
        <f>SUM(G39:G45)</f>
        <v>3</v>
      </c>
      <c r="H46" s="13"/>
      <c r="I46" s="13">
        <f>SUM(I39:I45)</f>
        <v>6</v>
      </c>
      <c r="J46" s="13"/>
      <c r="K46" s="13">
        <f>SUM(K39:K45)</f>
        <v>0</v>
      </c>
    </row>
    <row r="47" spans="1:11" ht="24" customHeight="1" x14ac:dyDescent="0.35">
      <c r="A47" s="43"/>
      <c r="B47" s="21" t="s">
        <v>13</v>
      </c>
      <c r="C47" s="14">
        <f>VLOOKUP(C46,ESCALA_IEP!A28:B228,2,FALSE)</f>
        <v>5.8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40" t="s">
        <v>14</v>
      </c>
      <c r="B50" s="11" t="str">
        <f>B4</f>
        <v>Andres Martinez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3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3">
      <c r="A52" s="42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2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2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2"/>
      <c r="B55" s="19" t="str">
        <f>RUBRICA!A7</f>
        <v>4. Expone el Proyecto APT, considerando el formato y el tiempo establecido para la presentación.</v>
      </c>
      <c r="C55" s="17" t="s">
        <v>8</v>
      </c>
      <c r="D55" s="12"/>
      <c r="E55" s="12" t="str">
        <f>IF(D55="X",100*0.05,"")</f>
        <v/>
      </c>
      <c r="F55" s="12" t="s">
        <v>67</v>
      </c>
      <c r="G55" s="12">
        <f>IF(F55="X",60*0.05,"")</f>
        <v>3</v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2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2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/>
      <c r="E57" s="12" t="str">
        <f>IF(D57="X",100*0.2,"")</f>
        <v/>
      </c>
      <c r="F57" s="12" t="str">
        <f>IF($C57=L,"X","")</f>
        <v/>
      </c>
      <c r="G57" s="12" t="str">
        <f>IF(F57="X",60*0.2,"")</f>
        <v/>
      </c>
      <c r="H57" s="12" t="s">
        <v>67</v>
      </c>
      <c r="I57" s="12">
        <f>IF(H57="X",30*0.2,"")</f>
        <v>6</v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2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1"/>
      <c r="B59" s="18" t="s">
        <v>12</v>
      </c>
      <c r="C59" s="22">
        <f>E59+G59+I59+K59</f>
        <v>84</v>
      </c>
      <c r="D59" s="13"/>
      <c r="E59" s="13">
        <f>SUM(E52:E58)</f>
        <v>75</v>
      </c>
      <c r="F59" s="13"/>
      <c r="G59" s="13">
        <f>SUM(G52:G58)</f>
        <v>3</v>
      </c>
      <c r="H59" s="13"/>
      <c r="I59" s="13">
        <f>SUM(I52:I58)</f>
        <v>6</v>
      </c>
      <c r="J59" s="13"/>
      <c r="K59" s="13">
        <f>SUM(K52:K58)</f>
        <v>0</v>
      </c>
    </row>
    <row r="60" spans="1:11" ht="24" customHeight="1" x14ac:dyDescent="0.35">
      <c r="A60" s="43"/>
      <c r="B60" s="21" t="s">
        <v>13</v>
      </c>
      <c r="C60" s="14">
        <f>VLOOKUP(C59,ESCALA_IEP!A41:B241,2,FALSE)</f>
        <v>5.8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40" t="s">
        <v>15</v>
      </c>
      <c r="B63" s="11" t="str">
        <f>B5</f>
        <v>Diego Herrera</v>
      </c>
      <c r="C63" s="44" t="s">
        <v>5</v>
      </c>
      <c r="D63" s="45" t="s">
        <v>6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3">
      <c r="A64" s="41"/>
      <c r="B64" s="15" t="s">
        <v>7</v>
      </c>
      <c r="C64" s="43"/>
      <c r="D64" s="45" t="s">
        <v>8</v>
      </c>
      <c r="E64" s="47"/>
      <c r="F64" s="45" t="s">
        <v>9</v>
      </c>
      <c r="G64" s="47"/>
      <c r="H64" s="48" t="s">
        <v>10</v>
      </c>
      <c r="I64" s="47"/>
      <c r="J64" s="45" t="s">
        <v>11</v>
      </c>
      <c r="K64" s="47"/>
    </row>
    <row r="65" spans="1:11" ht="24" customHeight="1" x14ac:dyDescent="0.3">
      <c r="A65" s="42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2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2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2"/>
      <c r="B68" s="19" t="str">
        <f>RUBRICA!A7</f>
        <v>4. Expone el Proyecto APT, considerando el formato y el tiempo establecido para la presentación.</v>
      </c>
      <c r="C68" s="17" t="s">
        <v>8</v>
      </c>
      <c r="D68" s="12"/>
      <c r="E68" s="12" t="str">
        <f>IF(D68="X",100*0.05,"")</f>
        <v/>
      </c>
      <c r="F68" s="12" t="s">
        <v>67</v>
      </c>
      <c r="G68" s="12">
        <f>IF(F68="X",60*0.05,"")</f>
        <v>3</v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2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2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/>
      <c r="E70" s="12" t="str">
        <f>IF(D70="X",100*0.2,"")</f>
        <v/>
      </c>
      <c r="F70" s="12" t="str">
        <f>IF($C70=L,"X","")</f>
        <v/>
      </c>
      <c r="G70" s="12" t="str">
        <f>IF(F70="X",60*0.2,"")</f>
        <v/>
      </c>
      <c r="H70" s="12" t="s">
        <v>67</v>
      </c>
      <c r="I70" s="12">
        <f>IF(H70="X",30*0.2,"")</f>
        <v>6</v>
      </c>
      <c r="J70" s="12" t="str">
        <f>IF($C70=NL,"X","")</f>
        <v/>
      </c>
      <c r="K70" s="12" t="str">
        <f t="shared" si="26"/>
        <v/>
      </c>
    </row>
    <row r="71" spans="1:11" ht="24" customHeight="1" x14ac:dyDescent="0.3">
      <c r="A71" s="42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5">
      <c r="A72" s="41"/>
      <c r="B72" s="18" t="s">
        <v>12</v>
      </c>
      <c r="C72" s="22">
        <f>E72+G72+I72+K72</f>
        <v>84</v>
      </c>
      <c r="D72" s="13"/>
      <c r="E72" s="13">
        <f>SUM(E65:E71)</f>
        <v>75</v>
      </c>
      <c r="F72" s="13"/>
      <c r="G72" s="13">
        <f>SUM(G65:G71)</f>
        <v>3</v>
      </c>
      <c r="H72" s="13"/>
      <c r="I72" s="13">
        <f>SUM(I65:I71)</f>
        <v>6</v>
      </c>
      <c r="J72" s="13"/>
      <c r="K72" s="13">
        <f>SUM(K65:K71)</f>
        <v>0</v>
      </c>
    </row>
    <row r="73" spans="1:11" ht="24" customHeight="1" x14ac:dyDescent="0.35">
      <c r="A73" s="43"/>
      <c r="B73" s="21" t="s">
        <v>13</v>
      </c>
      <c r="C73" s="14">
        <f>VLOOKUP(C72,ESCALA_IEP!A54:B254,2,FALSE)</f>
        <v>5.8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40" t="s">
        <v>16</v>
      </c>
      <c r="B76" s="11" t="str">
        <f>B6</f>
        <v>Sebastian Contreras</v>
      </c>
      <c r="C76" s="44" t="s">
        <v>5</v>
      </c>
      <c r="D76" s="45" t="s">
        <v>6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3">
      <c r="A77" s="41"/>
      <c r="B77" s="15" t="s">
        <v>7</v>
      </c>
      <c r="C77" s="43"/>
      <c r="D77" s="45" t="s">
        <v>8</v>
      </c>
      <c r="E77" s="47"/>
      <c r="F77" s="45" t="s">
        <v>9</v>
      </c>
      <c r="G77" s="47"/>
      <c r="H77" s="48" t="s">
        <v>10</v>
      </c>
      <c r="I77" s="47"/>
      <c r="J77" s="45" t="s">
        <v>11</v>
      </c>
      <c r="K77" s="47"/>
    </row>
    <row r="78" spans="1:11" ht="24" customHeight="1" x14ac:dyDescent="0.3">
      <c r="A78" s="42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2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2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2"/>
      <c r="B81" s="19" t="str">
        <f>RUBRICA!A7</f>
        <v>4. Expone el Proyecto APT, considerando el formato y el tiempo establecido para la presentación.</v>
      </c>
      <c r="C81" s="17" t="s">
        <v>8</v>
      </c>
      <c r="D81" s="12"/>
      <c r="E81" s="12" t="str">
        <f>IF(D81="X",100*0.05,"")</f>
        <v/>
      </c>
      <c r="F81" s="12" t="s">
        <v>67</v>
      </c>
      <c r="G81" s="12">
        <f>IF(F81="X",60*0.05,"")</f>
        <v>3</v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2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2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/>
      <c r="E83" s="12" t="str">
        <f>IF(D83="X",100*0.2,"")</f>
        <v/>
      </c>
      <c r="F83" s="12" t="str">
        <f>IF($C83=L,"X","")</f>
        <v/>
      </c>
      <c r="G83" s="12" t="str">
        <f>IF(F83="X",60*0.2,"")</f>
        <v/>
      </c>
      <c r="H83" s="12" t="s">
        <v>67</v>
      </c>
      <c r="I83" s="12">
        <f>IF(H83="X",30*0.2,"")</f>
        <v>6</v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2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1"/>
      <c r="B85" s="18" t="s">
        <v>12</v>
      </c>
      <c r="C85" s="22">
        <f>E85+G85+I85+K85</f>
        <v>84</v>
      </c>
      <c r="D85" s="13"/>
      <c r="E85" s="13">
        <f>SUM(E78:E84)</f>
        <v>75</v>
      </c>
      <c r="F85" s="13"/>
      <c r="G85" s="13">
        <f>SUM(G78:G84)</f>
        <v>3</v>
      </c>
      <c r="H85" s="13"/>
      <c r="I85" s="13">
        <f>SUM(I78:I84)</f>
        <v>6</v>
      </c>
      <c r="J85" s="13"/>
      <c r="K85" s="13">
        <f>SUM(K78:K84)</f>
        <v>0</v>
      </c>
    </row>
    <row r="86" spans="1:11" ht="24" customHeight="1" x14ac:dyDescent="0.35">
      <c r="A86" s="43"/>
      <c r="B86" s="21" t="s">
        <v>13</v>
      </c>
      <c r="C86" s="14">
        <f>VLOOKUP(C85,ESCALA_IEP!A67:B267,2,FALSE)</f>
        <v>5.8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0" t="s">
        <v>17</v>
      </c>
      <c r="B1" s="52" t="s">
        <v>18</v>
      </c>
      <c r="C1" s="53"/>
      <c r="D1" s="53"/>
      <c r="E1" s="54"/>
      <c r="F1" s="50" t="s">
        <v>19</v>
      </c>
    </row>
    <row r="2" spans="1:6" x14ac:dyDescent="0.3">
      <c r="A2" s="51"/>
      <c r="B2" s="55" t="s">
        <v>20</v>
      </c>
      <c r="C2" s="55" t="s">
        <v>21</v>
      </c>
      <c r="D2" s="25" t="s">
        <v>22</v>
      </c>
      <c r="E2" s="26" t="s">
        <v>11</v>
      </c>
      <c r="F2" s="51"/>
    </row>
    <row r="3" spans="1:6" x14ac:dyDescent="0.3">
      <c r="A3" s="51"/>
      <c r="B3" s="56"/>
      <c r="C3" s="56"/>
      <c r="D3" s="27">
        <v>0.3</v>
      </c>
      <c r="E3" s="27">
        <v>0</v>
      </c>
      <c r="F3" s="51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7" t="s">
        <v>60</v>
      </c>
      <c r="B1" s="4" t="s">
        <v>12</v>
      </c>
      <c r="C1" s="5"/>
      <c r="D1" s="5"/>
      <c r="E1" s="6"/>
    </row>
    <row r="2" spans="1:5" ht="43.8" thickBot="1" x14ac:dyDescent="0.35">
      <c r="A2" s="58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Cristian Molina P.</cp:lastModifiedBy>
  <cp:revision/>
  <dcterms:created xsi:type="dcterms:W3CDTF">2023-08-07T04:08:01Z</dcterms:created>
  <dcterms:modified xsi:type="dcterms:W3CDTF">2025-11-26T18:06:13Z</dcterms:modified>
  <cp:category/>
  <cp:contentStatus/>
</cp:coreProperties>
</file>